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iaa\Downloads\Mechanical\Solenoid Winder\"/>
    </mc:Choice>
  </mc:AlternateContent>
  <xr:revisionPtr revIDLastSave="0" documentId="13_ncr:1_{BE3A6294-C555-43B9-82F0-21C3AD6E1BAD}" xr6:coauthVersionLast="47" xr6:coauthVersionMax="47" xr10:uidLastSave="{00000000-0000-0000-0000-000000000000}"/>
  <bookViews>
    <workbookView xWindow="-108" yWindow="-108" windowWidth="23256" windowHeight="13896" xr2:uid="{2E6E265C-C8AE-4FC4-8280-1FFB22FD5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3" i="1" l="1"/>
  <c r="J33" i="1" s="1"/>
  <c r="I32" i="1"/>
  <c r="J32" i="1" s="1"/>
  <c r="I31" i="1"/>
  <c r="J31" i="1" s="1"/>
  <c r="I30" i="1"/>
  <c r="J30" i="1" s="1"/>
  <c r="J29" i="1"/>
  <c r="I29" i="1"/>
  <c r="I28" i="1"/>
  <c r="J28" i="1" s="1"/>
  <c r="I27" i="1"/>
  <c r="J27" i="1" s="1"/>
  <c r="J26" i="1"/>
  <c r="I26" i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J16" i="1"/>
  <c r="I16" i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J6" i="1"/>
  <c r="I6" i="1"/>
  <c r="J5" i="1"/>
  <c r="I5" i="1"/>
  <c r="I4" i="1"/>
  <c r="J4" i="1" s="1"/>
  <c r="I3" i="1"/>
  <c r="J3" i="1" s="1"/>
  <c r="I2" i="1"/>
  <c r="J2" i="1" s="1"/>
  <c r="J35" i="1" l="1"/>
  <c r="J37" i="1"/>
  <c r="J36" i="1"/>
  <c r="J39" i="1" l="1"/>
</calcChain>
</file>

<file path=xl/sharedStrings.xml><?xml version="1.0" encoding="utf-8"?>
<sst xmlns="http://schemas.openxmlformats.org/spreadsheetml/2006/main" count="128" uniqueCount="60">
  <si>
    <t>Quantity</t>
  </si>
  <si>
    <t>Amazon</t>
  </si>
  <si>
    <t>Part Name</t>
  </si>
  <si>
    <t>UPC</t>
  </si>
  <si>
    <t>Supplier</t>
  </si>
  <si>
    <t>Quantity Needed</t>
  </si>
  <si>
    <t>Quantity Per Pack</t>
  </si>
  <si>
    <t>Link</t>
  </si>
  <si>
    <t>2020 x 300mm Al T Extrusion</t>
  </si>
  <si>
    <t>link</t>
  </si>
  <si>
    <t>2020 x 200mm Al V Extrusion</t>
  </si>
  <si>
    <t>2020 x 150mm Al V Extrusion</t>
  </si>
  <si>
    <t>Tailstock</t>
  </si>
  <si>
    <t>Chuck</t>
  </si>
  <si>
    <t>NEMA 17 Corner Mounting Bracket</t>
  </si>
  <si>
    <t>AliExpress</t>
  </si>
  <si>
    <t>NEMA 17 Stepper Motor &amp; 200mm Lead Screw</t>
  </si>
  <si>
    <t>NEMA 17 Stepper Motor</t>
  </si>
  <si>
    <t>Gantry V Roller Plate Assembly</t>
  </si>
  <si>
    <t>2020 Corner Bracket Set:
Corner Bracket, M5 x 8mm Screw, T Slot Nut</t>
  </si>
  <si>
    <t>M10 x 150mm Bolt</t>
  </si>
  <si>
    <t>M10 Nut</t>
  </si>
  <si>
    <t>Home Depot</t>
  </si>
  <si>
    <t>M10 XL Washer</t>
  </si>
  <si>
    <t>McMaster</t>
  </si>
  <si>
    <t>Spool Holder Mount</t>
  </si>
  <si>
    <t>-</t>
  </si>
  <si>
    <t>3D Printed</t>
  </si>
  <si>
    <t>Chuck Mounting Plate</t>
  </si>
  <si>
    <t>Waterjet</t>
  </si>
  <si>
    <t>Max est. waterjet cost</t>
  </si>
  <si>
    <t>Lead Screw Mounting Plate</t>
  </si>
  <si>
    <t>12mm OD 8mm ID Ball Bearing</t>
  </si>
  <si>
    <t>1 1/8" OD 1/2" ID Ball Bearing</t>
  </si>
  <si>
    <t>Director-Gantry Mount</t>
  </si>
  <si>
    <t>Director</t>
  </si>
  <si>
    <t>M3 Nut</t>
  </si>
  <si>
    <t>M3 x 20mm Screw</t>
  </si>
  <si>
    <t>A4988 Stepper Motor Drivers</t>
  </si>
  <si>
    <t>Pololu</t>
  </si>
  <si>
    <t>3A / 12V Wall wart with 5.5mm barrel jack</t>
  </si>
  <si>
    <t>16x2 LCD with I2C bus driver</t>
  </si>
  <si>
    <t>PCBoard</t>
  </si>
  <si>
    <t>LM7805</t>
  </si>
  <si>
    <t>5MM X 12.7MM 1/2" Flexible Ballscrew Shaft Clamp Coupler</t>
  </si>
  <si>
    <t>Ebay</t>
  </si>
  <si>
    <t>12V 2 pin adapter</t>
  </si>
  <si>
    <t>Threaded One Ended Stud</t>
  </si>
  <si>
    <t>Subtotal</t>
  </si>
  <si>
    <t>Est. tax</t>
  </si>
  <si>
    <t>Est. shipping</t>
  </si>
  <si>
    <t>Total</t>
  </si>
  <si>
    <t>Cost Per Item</t>
  </si>
  <si>
    <t>Currency</t>
  </si>
  <si>
    <t>Cost Per Item CAD</t>
  </si>
  <si>
    <t>Total Part(s) Cost</t>
  </si>
  <si>
    <t>Order #</t>
  </si>
  <si>
    <t>CAD</t>
  </si>
  <si>
    <t>EUR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</si>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</sst>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F11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4" fontId="1" fillId="0" borderId="0" xfId="1" applyFont="1" applyAlignment="1">
      <alignment wrapText="1"/>
    </xf>
    <xf numFmtId="44" fontId="1" fillId="0" borderId="0" xfId="1" applyFont="1" applyAlignment="1">
      <alignment horizontal="center"/>
    </xf>
    <xf numFmtId="49" fontId="0" fillId="0" borderId="0" xfId="0" applyNumberFormat="1"/>
    <xf numFmtId="44" fontId="0" fillId="0" borderId="0" xfId="1" applyFont="1"/>
    <xf numFmtId="44" fontId="0" fillId="0" borderId="0" xfId="1" applyFont="1" applyAlignment="1">
      <alignment horizontal="center"/>
    </xf>
    <xf numFmtId="0" fontId="4" fillId="0" borderId="0" xfId="3"/>
    <xf numFmtId="49" fontId="5" fillId="3" borderId="0" xfId="0" applyNumberFormat="1" applyFont="1" applyFill="1" applyAlignment="1">
      <alignment wrapText="1"/>
    </xf>
    <xf numFmtId="12" fontId="0" fillId="0" borderId="0" xfId="0" applyNumberFormat="1"/>
    <xf numFmtId="0" fontId="3" fillId="2" borderId="0" xfId="2"/>
    <xf numFmtId="49" fontId="3" fillId="2" borderId="0" xfId="2" applyNumberFormat="1"/>
    <xf numFmtId="44" fontId="3" fillId="2" borderId="0" xfId="2" applyNumberFormat="1"/>
    <xf numFmtId="44" fontId="3" fillId="2" borderId="0" xfId="2" applyNumberFormat="1" applyAlignment="1">
      <alignment horizontal="center"/>
    </xf>
    <xf numFmtId="44" fontId="3" fillId="2" borderId="0" xfId="1" applyFont="1" applyFill="1"/>
    <xf numFmtId="44" fontId="2" fillId="0" borderId="0" xfId="1" applyFont="1"/>
    <xf numFmtId="44" fontId="2" fillId="0" borderId="0" xfId="1" applyFont="1" applyAlignment="1">
      <alignment horizontal="center"/>
    </xf>
    <xf numFmtId="44" fontId="0" fillId="0" borderId="0" xfId="0" applyNumberFormat="1"/>
    <xf numFmtId="49" fontId="1" fillId="0" borderId="0" xfId="0" applyNumberFormat="1" applyFont="1"/>
    <xf numFmtId="44" fontId="1" fillId="0" borderId="0" xfId="1" applyFont="1"/>
    <xf numFmtId="44" fontId="1" fillId="0" borderId="0" xfId="0" applyNumberFormat="1" applyFont="1"/>
  </cellXfs>
  <cellStyles count="4">
    <cellStyle name="Accent1" xfId="2" builtinId="29"/>
    <cellStyle name="Currency" xfId="1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32338207156.html?spm=a2g0o.detail.1000023.1.30eeeIfueIfuJL" TargetMode="External"/><Relationship Id="rId13" Type="http://schemas.openxmlformats.org/officeDocument/2006/relationships/hyperlink" Target="https://www.homedepot.ca/product/paulin-m10-1-50-class-8-metric-hex-nut-din-934-zinc-plated/1000128523" TargetMode="External"/><Relationship Id="rId18" Type="http://schemas.openxmlformats.org/officeDocument/2006/relationships/hyperlink" Target="https://www.amazon.ca/L7805CV-L7805-Positive-Voltage-Regulator/dp/B07RZCBMKC?dib=eyJ2IjoiMSJ9.76yPcTanvvUS3CRMYrmjc1AkFadJngDu7u7qIbWw73gVQUBeXxiexdI-gkT0Idavb3zC2Y8wY4wPj6Egre_Gml3d7bb40_qS1szhDqIuxLHb3R7cBZR0nxm3JQmc6a0diPf55-PdGlNTPGj7JnC9jwBrMFK-r0cYCSRbNtSsPjgEuFNEXvgTCSX1jBIp-E7jVi2gmC-_Ii1q39F3gEwQnDGiQOLvmDnYEl18FKPahMuvjFRDOZOzTGmIw6Eh1u5NFaExpI5c9b58X6vaUba_Ogk9PPMKC0sN_EWbRwiMnpg.wposKvGNuRrDnU-AtI8yJ2mM4mq6tJ58hcZRHTviQGU&amp;dib_tag=se&amp;keywords=7805%2Bvoltage%2Bregulator&amp;qid=1731609413&amp;sr=8-5&amp;th=1" TargetMode="External"/><Relationship Id="rId3" Type="http://schemas.openxmlformats.org/officeDocument/2006/relationships/hyperlink" Target="https://www.mcmaster.com/6383K234/" TargetMode="External"/><Relationship Id="rId21" Type="http://schemas.openxmlformats.org/officeDocument/2006/relationships/hyperlink" Target="https://www.ebay.com/itm/172516207591" TargetMode="External"/><Relationship Id="rId7" Type="http://schemas.openxmlformats.org/officeDocument/2006/relationships/hyperlink" Target="https://www.amazon.ca/European-Standard-Anodized-Aluminum-Extrusion/dp/B09JSMQDLT?th=1" TargetMode="External"/><Relationship Id="rId12" Type="http://schemas.openxmlformats.org/officeDocument/2006/relationships/hyperlink" Target="https://www.amazon.ca/dp/B08R78WQH6?smid=A2EYQYE4IE6E7L&amp;ref_=chk_typ_imgToDp&amp;th=1" TargetMode="External"/><Relationship Id="rId17" Type="http://schemas.openxmlformats.org/officeDocument/2006/relationships/hyperlink" Target="https://www.pcboard.ca/2x16-lcd-1602-i2c" TargetMode="External"/><Relationship Id="rId2" Type="http://schemas.openxmlformats.org/officeDocument/2006/relationships/hyperlink" Target="https://www.amazon.ca/2-13mm-Keyless-20UNF-Adaptor-Conversion/dp/B07NSJ77HZ" TargetMode="External"/><Relationship Id="rId16" Type="http://schemas.openxmlformats.org/officeDocument/2006/relationships/hyperlink" Target="https://www.pololu.com/product/1774" TargetMode="External"/><Relationship Id="rId20" Type="http://schemas.openxmlformats.org/officeDocument/2006/relationships/hyperlink" Target="https://www.mcmaster.com/93849A204/" TargetMode="External"/><Relationship Id="rId1" Type="http://schemas.openxmlformats.org/officeDocument/2006/relationships/hyperlink" Target="https://www.amazon.ca/2028-Brackets-Aluminum-Extrusion-Profile/dp/B0B28F1Y35?dib=eyJ2IjoiMSJ9.qTeyfRINm0jt30NGrDkuHNdqVY-pWQFmqN86cQc-S3egPoW0tZlLKngboNBqpFcgxssjqlIm1EUrp616Mv08gsKdcqVDL6abH2DAiA3DXF4SR6skH_d4QK6FmYDX6FkPcHT8uCadZRogsdHsmvvs5k1UR6dbLmRfSx8sHqKncfa5eLw4vL8YwIx3JCCIRoi7f23PsiPCsYw73Gi3kC1tujaUibiycz46o_Cjg6JQooxuDavxHX64ICk39cRVwL28JNus1wd8N1CmJ4PEX9ccOQG_ULytt_STke0T7i0M5m8.pBd-sDP1BPC9vosXE8tna2NVZLkldwXh5QSGoA8g_eM&amp;dib_tag=se&amp;keywords=2020+T+slot+corner+bracket&amp;qid=1731788358&amp;s=hi&amp;sr=1-18" TargetMode="External"/><Relationship Id="rId6" Type="http://schemas.openxmlformats.org/officeDocument/2006/relationships/hyperlink" Target="https://www.amazon.ca/Machine-Double-Bearing-Revolving-Accessories/dp/B07GWS5P4Q?dib=eyJ2IjoiMSJ9.DBIhiwjXbTkZnLQxSXNEXK3fLizJ4Y60NaSxmOFcA8P7GtRie8g4ZcGwllE1WOaPTamn9ReHPLYrjX_Ww_-fytZ_3GCsAv_hOqmOUpSxNS_1et6F3zmUPBQV15ctLGbHQ-tngufBqH3Zw_NPcSwzK5A29Njy0T3z5zhVNy5EYxqu7XkeMwuVUfQy9tBWVjR1ZmzGkFGZtByP9gz5I_ZBsa5u0Jum6pB6w1Ahc0GOpt8c2AmJK4-gR3Nxto-kd2kSIZB9FXasb81dHYt7PxR5Y7c2Vu_p_KeHWkWexioWpPw.7C-VE6OIf5YR3qbbecxy1d3Gz0hT1H7XnO5O5Q-ivtA&amp;dib_tag=se&amp;keywords=mini+tailstock&amp;qid=1731979740&amp;sr=8-6" TargetMode="External"/><Relationship Id="rId11" Type="http://schemas.openxmlformats.org/officeDocument/2006/relationships/hyperlink" Target="https://www.amazon.ca/V-Wheel-Accessories-Aluminum-Profiles-Standard/dp/B08LH7DXV6?dib=eyJ2IjoiMSJ9.9jeihSlpkuDxakfvOt2786CRVVvw7lkVvcatchVqVBN8Gvk_pWxuUoCRzpRSk1atZEQDH5oApwsb2QkiVJMsZsfab7xIqFDntkuT4df9xTqYM9Lw-qacg-Byz4FFNgcPSI5aWjqrpJu1cN4ZWnl95_ECCpvWaKO5amwbUFdk7-ULIVsNdvzVQC8-FtF1tse3MVo6DLR68Q6jQks6qbBjB856FE_aWCFXl-emJSRv2Ez5JF3Km2HogqbsqdD0Bn0u85uJ2Qsu8339elkC9G4EY5M9az_Hlr-6L70TF0FR25o.O7tS-ro-KLMzAaJ9yVwGXVM70leCvQ_EqwYC3C5lGik&amp;dib_tag=se&amp;keywords=2020+aluminum+extrusion+accessories&amp;qid=1730770358&amp;sr=8-12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www.amazon.ca/European-Standard-Anodized-Aluminum-Extrusion/dp/B09JSNM85H?th=1" TargetMode="External"/><Relationship Id="rId15" Type="http://schemas.openxmlformats.org/officeDocument/2006/relationships/hyperlink" Target="https://www.pololu.com/product/1182" TargetMode="External"/><Relationship Id="rId23" Type="http://schemas.openxmlformats.org/officeDocument/2006/relationships/hyperlink" Target="https://www.mcmaster.com/93712A700/" TargetMode="External"/><Relationship Id="rId10" Type="http://schemas.openxmlformats.org/officeDocument/2006/relationships/hyperlink" Target="https://www.aliexpress.com/item/1005005281739306.html?spm=a2g0o.productlist.main.3.6aee494cQCJCSL&amp;algo_pvid=bd2af70a-fb1c-4994-95fd-503c421dcebf&amp;algo_exp_id=bd2af70a-fb1c-4994-95fd-503c421dcebf-1&amp;pdp_npi=4%40dis%21EUR%217.33%210.99%21%21%2154.59%217.37%21%4021030ea417319802781352203e6819%2112000040072246972%21sea%21FR%210%21ABX&amp;curPageLogUid=8KBXyM4mew2w&amp;utparam-url=scene%3Asearch%7Cquery_from%3A" TargetMode="External"/><Relationship Id="rId19" Type="http://schemas.openxmlformats.org/officeDocument/2006/relationships/hyperlink" Target="https://www.mcmaster.com/7804K115/" TargetMode="External"/><Relationship Id="rId4" Type="http://schemas.openxmlformats.org/officeDocument/2006/relationships/hyperlink" Target="https://www.zyltech.com/2020-t-slot-aluminum-extrusion-pre-cut-lengths-300mm-2000mm/" TargetMode="External"/><Relationship Id="rId9" Type="http://schemas.openxmlformats.org/officeDocument/2006/relationships/hyperlink" Target="https://www.aliexpress.com/item/1005004105054254.html?src=google&amp;pdp_npi=4%40dis%21CAD%2121.85%2120.18%21%21%21%21%21%40%2112000028049884826%21ppc%21%21%21&amp;albch=shopping&amp;acnt=631-313-3945&amp;isdl=y&amp;slnk=&amp;plac=&amp;mtctp=&amp;albbt=Google_7_shopping&amp;aff_platform=google&amp;aff_short_key=UneMJZVf&amp;=&amp;albagn=888888&amp;ds_e_adid=&amp;ds_e_matchtype=&amp;ds_e_device=c&amp;ds_e_network=x&amp;ds_e_product_group_id=&amp;ds_e_product_id=en1005004105054254&amp;ds_e_product_merchant_id=107692664&amp;ds_e_product_country=CA&amp;ds_e_product_language=en&amp;ds_e_product_channel=online&amp;ds_e_product_store_id=&amp;ds_url_v=2&amp;albcp=20225808915&amp;albag=&amp;isSmbAutoCall=false&amp;needSmbHouyi=false&amp;gad_source=1" TargetMode="External"/><Relationship Id="rId14" Type="http://schemas.openxmlformats.org/officeDocument/2006/relationships/hyperlink" Target="https://www.homedepot.com/p/Everbilt-M3-0-5-x-20-mm-Zinc-Plated-Steel-Socket-Cap-Recessed-Hex-Screw-3-per-Bag-803208/204281930" TargetMode="External"/><Relationship Id="rId22" Type="http://schemas.openxmlformats.org/officeDocument/2006/relationships/hyperlink" Target="https://www.pololu.com/product/24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755A2-A55E-4281-A19F-4E300EE5DE3E}">
  <dimension ref="A1:L40"/>
  <sheetViews>
    <sheetView tabSelected="1" zoomScale="91" workbookViewId="0">
      <selection activeCell="A11" sqref="A11"/>
    </sheetView>
  </sheetViews>
  <sheetFormatPr defaultRowHeight="14.4" x14ac:dyDescent="0.3"/>
  <cols>
    <col min="1" max="1" width="51.44140625" bestFit="1" customWidth="1"/>
  </cols>
  <sheetData>
    <row r="1" spans="1:12" ht="43.2" x14ac:dyDescent="0.3">
      <c r="A1" s="3" t="s">
        <v>2</v>
      </c>
      <c r="B1" s="4" t="s">
        <v>3</v>
      </c>
      <c r="C1" s="3" t="s">
        <v>4</v>
      </c>
      <c r="D1" s="3" t="s">
        <v>5</v>
      </c>
      <c r="E1" s="3" t="s">
        <v>6</v>
      </c>
      <c r="F1" s="3" t="s">
        <v>0</v>
      </c>
      <c r="G1" s="5" t="s">
        <v>52</v>
      </c>
      <c r="H1" s="6" t="s">
        <v>53</v>
      </c>
      <c r="I1" s="5" t="s">
        <v>54</v>
      </c>
      <c r="J1" s="5" t="s">
        <v>55</v>
      </c>
      <c r="K1" s="1" t="s">
        <v>7</v>
      </c>
      <c r="L1" s="5" t="s">
        <v>56</v>
      </c>
    </row>
    <row r="2" spans="1:12" x14ac:dyDescent="0.3">
      <c r="A2" t="s">
        <v>8</v>
      </c>
      <c r="B2" s="7"/>
      <c r="C2" t="s">
        <v>1</v>
      </c>
      <c r="D2">
        <v>2</v>
      </c>
      <c r="E2">
        <v>4</v>
      </c>
      <c r="F2">
        <v>1</v>
      </c>
      <c r="G2" s="8">
        <v>33.36</v>
      </c>
      <c r="H2" s="9" t="s">
        <v>57</v>
      </c>
      <c r="I2" s="8">
        <f>IF(H2="USD",G2*1.4,IF(H2="EUR",G2*1.49,G2))</f>
        <v>33.36</v>
      </c>
      <c r="J2" s="8">
        <f>I2*F2</f>
        <v>33.36</v>
      </c>
      <c r="K2" s="10" t="s">
        <v>9</v>
      </c>
      <c r="L2">
        <v>3</v>
      </c>
    </row>
    <row r="3" spans="1:12" x14ac:dyDescent="0.3">
      <c r="A3" t="s">
        <v>10</v>
      </c>
      <c r="B3" s="7"/>
      <c r="C3" t="s">
        <v>1</v>
      </c>
      <c r="D3">
        <v>4</v>
      </c>
      <c r="E3">
        <v>4</v>
      </c>
      <c r="F3">
        <v>1</v>
      </c>
      <c r="G3" s="8">
        <v>21.99</v>
      </c>
      <c r="H3" s="9" t="s">
        <v>57</v>
      </c>
      <c r="I3" s="8">
        <f t="shared" ref="I3:I33" si="0">IF(H3="USD",G3*1.4,IF(H3="EUR",G3*1.49,G3))</f>
        <v>21.99</v>
      </c>
      <c r="J3" s="8">
        <f t="shared" ref="J3:J33" si="1">I3*F3</f>
        <v>21.99</v>
      </c>
      <c r="K3" s="10" t="s">
        <v>9</v>
      </c>
      <c r="L3">
        <v>1</v>
      </c>
    </row>
    <row r="4" spans="1:12" x14ac:dyDescent="0.3">
      <c r="A4" t="s">
        <v>11</v>
      </c>
      <c r="B4" s="7"/>
      <c r="C4" t="s">
        <v>1</v>
      </c>
      <c r="D4">
        <v>4</v>
      </c>
      <c r="E4">
        <v>4</v>
      </c>
      <c r="F4">
        <v>1</v>
      </c>
      <c r="G4" s="8">
        <v>17.989999999999998</v>
      </c>
      <c r="H4" s="9" t="s">
        <v>57</v>
      </c>
      <c r="I4" s="8">
        <f t="shared" si="0"/>
        <v>17.989999999999998</v>
      </c>
      <c r="J4" s="8">
        <f t="shared" si="1"/>
        <v>17.989999999999998</v>
      </c>
      <c r="K4" s="10" t="s">
        <v>9</v>
      </c>
      <c r="L4">
        <v>1</v>
      </c>
    </row>
    <row r="5" spans="1:12" x14ac:dyDescent="0.3">
      <c r="A5" t="s">
        <v>12</v>
      </c>
      <c r="B5" s="7"/>
      <c r="C5" t="s">
        <v>1</v>
      </c>
      <c r="D5">
        <v>1</v>
      </c>
      <c r="E5">
        <v>1</v>
      </c>
      <c r="F5">
        <v>1</v>
      </c>
      <c r="G5" s="8">
        <v>31.8</v>
      </c>
      <c r="H5" s="9" t="s">
        <v>57</v>
      </c>
      <c r="I5" s="8">
        <f t="shared" si="0"/>
        <v>31.8</v>
      </c>
      <c r="J5" s="8">
        <f t="shared" si="1"/>
        <v>31.8</v>
      </c>
      <c r="K5" s="10" t="s">
        <v>9</v>
      </c>
      <c r="L5">
        <v>1</v>
      </c>
    </row>
    <row r="6" spans="1:12" x14ac:dyDescent="0.3">
      <c r="A6" t="s">
        <v>13</v>
      </c>
      <c r="B6" s="11"/>
      <c r="C6" t="s">
        <v>1</v>
      </c>
      <c r="D6">
        <v>1</v>
      </c>
      <c r="E6">
        <v>1</v>
      </c>
      <c r="F6">
        <v>1</v>
      </c>
      <c r="G6" s="8">
        <v>16.3</v>
      </c>
      <c r="H6" s="9" t="s">
        <v>57</v>
      </c>
      <c r="I6" s="8">
        <f t="shared" si="0"/>
        <v>16.3</v>
      </c>
      <c r="J6" s="8">
        <f t="shared" si="1"/>
        <v>16.3</v>
      </c>
      <c r="K6" s="10" t="s">
        <v>9</v>
      </c>
      <c r="L6">
        <v>1</v>
      </c>
    </row>
    <row r="7" spans="1:12" x14ac:dyDescent="0.3">
      <c r="A7" t="s">
        <v>14</v>
      </c>
      <c r="B7" s="7"/>
      <c r="C7" t="s">
        <v>15</v>
      </c>
      <c r="D7">
        <v>2</v>
      </c>
      <c r="E7">
        <v>1</v>
      </c>
      <c r="F7">
        <v>2</v>
      </c>
      <c r="G7" s="8">
        <v>2.81</v>
      </c>
      <c r="H7" s="9" t="s">
        <v>58</v>
      </c>
      <c r="I7" s="8">
        <f t="shared" si="0"/>
        <v>4.1868999999999996</v>
      </c>
      <c r="J7" s="8">
        <f t="shared" si="1"/>
        <v>8.3737999999999992</v>
      </c>
      <c r="K7" s="10" t="s">
        <v>9</v>
      </c>
      <c r="L7">
        <v>2</v>
      </c>
    </row>
    <row r="8" spans="1:12" x14ac:dyDescent="0.3">
      <c r="A8" t="s">
        <v>16</v>
      </c>
      <c r="B8" s="7"/>
      <c r="C8" t="s">
        <v>15</v>
      </c>
      <c r="D8">
        <v>1</v>
      </c>
      <c r="E8">
        <v>1</v>
      </c>
      <c r="F8">
        <v>1</v>
      </c>
      <c r="G8" s="8">
        <v>16.489999999999998</v>
      </c>
      <c r="H8" s="9" t="s">
        <v>58</v>
      </c>
      <c r="I8" s="8">
        <f t="shared" si="0"/>
        <v>24.570099999999996</v>
      </c>
      <c r="J8" s="8">
        <f t="shared" si="1"/>
        <v>24.570099999999996</v>
      </c>
      <c r="K8" s="10" t="s">
        <v>9</v>
      </c>
      <c r="L8">
        <v>2</v>
      </c>
    </row>
    <row r="9" spans="1:12" x14ac:dyDescent="0.3">
      <c r="A9" t="s">
        <v>17</v>
      </c>
      <c r="B9" s="7"/>
      <c r="C9" t="s">
        <v>15</v>
      </c>
      <c r="D9">
        <v>1</v>
      </c>
      <c r="E9">
        <v>1</v>
      </c>
      <c r="F9">
        <v>1</v>
      </c>
      <c r="G9" s="8">
        <v>7.33</v>
      </c>
      <c r="H9" s="9" t="s">
        <v>58</v>
      </c>
      <c r="I9" s="8">
        <f t="shared" si="0"/>
        <v>10.9217</v>
      </c>
      <c r="J9" s="8">
        <f t="shared" si="1"/>
        <v>10.9217</v>
      </c>
      <c r="K9" s="10" t="s">
        <v>9</v>
      </c>
      <c r="L9">
        <v>2</v>
      </c>
    </row>
    <row r="10" spans="1:12" x14ac:dyDescent="0.3">
      <c r="A10" t="s">
        <v>18</v>
      </c>
      <c r="B10" s="7"/>
      <c r="C10" t="s">
        <v>1</v>
      </c>
      <c r="D10">
        <v>1</v>
      </c>
      <c r="E10">
        <v>1</v>
      </c>
      <c r="F10">
        <v>1</v>
      </c>
      <c r="G10" s="8">
        <v>19.29</v>
      </c>
      <c r="H10" s="9" t="s">
        <v>57</v>
      </c>
      <c r="I10" s="8">
        <f t="shared" si="0"/>
        <v>19.29</v>
      </c>
      <c r="J10" s="8">
        <f t="shared" si="1"/>
        <v>19.29</v>
      </c>
      <c r="K10" s="10" t="s">
        <v>9</v>
      </c>
      <c r="L10">
        <v>1</v>
      </c>
    </row>
    <row r="11" spans="1:12" ht="28.8" x14ac:dyDescent="0.3">
      <c r="A11" s="2" t="s">
        <v>19</v>
      </c>
      <c r="B11" s="7"/>
      <c r="C11" t="s">
        <v>1</v>
      </c>
      <c r="D11">
        <v>16</v>
      </c>
      <c r="E11">
        <v>26</v>
      </c>
      <c r="F11">
        <v>1</v>
      </c>
      <c r="G11" s="8">
        <v>23.99</v>
      </c>
      <c r="H11" s="9" t="s">
        <v>57</v>
      </c>
      <c r="I11" s="8">
        <f t="shared" si="0"/>
        <v>23.99</v>
      </c>
      <c r="J11" s="8">
        <f t="shared" si="1"/>
        <v>23.99</v>
      </c>
      <c r="K11" s="10" t="s">
        <v>9</v>
      </c>
      <c r="L11">
        <v>1</v>
      </c>
    </row>
    <row r="12" spans="1:12" x14ac:dyDescent="0.3">
      <c r="A12" t="s">
        <v>20</v>
      </c>
      <c r="B12" s="7"/>
      <c r="C12" t="s">
        <v>1</v>
      </c>
      <c r="D12">
        <v>1</v>
      </c>
      <c r="E12">
        <v>1</v>
      </c>
      <c r="F12">
        <v>1</v>
      </c>
      <c r="G12" s="8">
        <v>22.92</v>
      </c>
      <c r="H12" s="9" t="s">
        <v>57</v>
      </c>
      <c r="I12" s="8">
        <f t="shared" si="0"/>
        <v>22.92</v>
      </c>
      <c r="J12" s="8">
        <f t="shared" si="1"/>
        <v>22.92</v>
      </c>
      <c r="K12" s="10" t="s">
        <v>9</v>
      </c>
      <c r="L12">
        <v>4</v>
      </c>
    </row>
    <row r="13" spans="1:12" x14ac:dyDescent="0.3">
      <c r="A13" t="s">
        <v>21</v>
      </c>
      <c r="B13" s="7"/>
      <c r="C13" t="s">
        <v>22</v>
      </c>
      <c r="D13">
        <v>5</v>
      </c>
      <c r="E13">
        <v>1</v>
      </c>
      <c r="F13">
        <v>5</v>
      </c>
      <c r="G13" s="8">
        <v>0.39</v>
      </c>
      <c r="H13" s="9" t="s">
        <v>57</v>
      </c>
      <c r="I13" s="8">
        <f t="shared" si="0"/>
        <v>0.39</v>
      </c>
      <c r="J13" s="8">
        <f t="shared" si="1"/>
        <v>1.9500000000000002</v>
      </c>
      <c r="K13" s="10" t="s">
        <v>9</v>
      </c>
    </row>
    <row r="14" spans="1:12" x14ac:dyDescent="0.3">
      <c r="A14" t="s">
        <v>23</v>
      </c>
      <c r="B14" s="7"/>
      <c r="C14" t="s">
        <v>24</v>
      </c>
      <c r="D14">
        <v>2</v>
      </c>
      <c r="E14">
        <v>1</v>
      </c>
      <c r="F14">
        <v>2</v>
      </c>
      <c r="G14" s="8">
        <v>1.28</v>
      </c>
      <c r="H14" s="9" t="s">
        <v>59</v>
      </c>
      <c r="I14" s="8">
        <f t="shared" si="0"/>
        <v>1.7919999999999998</v>
      </c>
      <c r="J14" s="8">
        <f t="shared" si="1"/>
        <v>3.5839999999999996</v>
      </c>
      <c r="K14" s="10" t="s">
        <v>9</v>
      </c>
      <c r="L14">
        <v>5</v>
      </c>
    </row>
    <row r="15" spans="1:12" x14ac:dyDescent="0.3">
      <c r="A15" t="s">
        <v>25</v>
      </c>
      <c r="B15" s="7" t="s">
        <v>26</v>
      </c>
      <c r="C15" t="s">
        <v>27</v>
      </c>
      <c r="D15">
        <v>2</v>
      </c>
      <c r="E15">
        <v>1</v>
      </c>
      <c r="F15">
        <v>2</v>
      </c>
      <c r="G15" s="8">
        <v>0</v>
      </c>
      <c r="H15" s="9"/>
      <c r="I15" s="8">
        <f t="shared" si="0"/>
        <v>0</v>
      </c>
      <c r="J15" s="8">
        <f t="shared" si="1"/>
        <v>0</v>
      </c>
    </row>
    <row r="16" spans="1:12" x14ac:dyDescent="0.3">
      <c r="A16" t="s">
        <v>28</v>
      </c>
      <c r="B16" s="7"/>
      <c r="C16" t="s">
        <v>29</v>
      </c>
      <c r="D16">
        <v>1</v>
      </c>
      <c r="E16">
        <v>1</v>
      </c>
      <c r="F16">
        <v>1</v>
      </c>
      <c r="G16" s="8">
        <v>5</v>
      </c>
      <c r="H16" s="9" t="s">
        <v>57</v>
      </c>
      <c r="I16" s="8">
        <f t="shared" si="0"/>
        <v>5</v>
      </c>
      <c r="J16" s="8">
        <f t="shared" si="1"/>
        <v>5</v>
      </c>
      <c r="K16" t="s">
        <v>30</v>
      </c>
    </row>
    <row r="17" spans="1:12" x14ac:dyDescent="0.3">
      <c r="A17" t="s">
        <v>31</v>
      </c>
      <c r="B17" s="7"/>
      <c r="C17" t="s">
        <v>29</v>
      </c>
      <c r="D17">
        <v>1</v>
      </c>
      <c r="E17">
        <v>1</v>
      </c>
      <c r="F17">
        <v>1</v>
      </c>
      <c r="G17" s="8">
        <v>5</v>
      </c>
      <c r="H17" s="9" t="s">
        <v>57</v>
      </c>
      <c r="I17" s="8">
        <f t="shared" si="0"/>
        <v>5</v>
      </c>
      <c r="J17" s="8">
        <f t="shared" si="1"/>
        <v>5</v>
      </c>
      <c r="K17" t="s">
        <v>30</v>
      </c>
    </row>
    <row r="18" spans="1:12" x14ac:dyDescent="0.3">
      <c r="A18" t="s">
        <v>32</v>
      </c>
      <c r="B18" s="7"/>
      <c r="C18" t="s">
        <v>24</v>
      </c>
      <c r="D18">
        <v>1</v>
      </c>
      <c r="E18">
        <v>1</v>
      </c>
      <c r="F18">
        <v>1</v>
      </c>
      <c r="G18" s="8">
        <v>8.3699999999999992</v>
      </c>
      <c r="H18" s="9" t="s">
        <v>59</v>
      </c>
      <c r="I18" s="8">
        <f t="shared" si="0"/>
        <v>11.717999999999998</v>
      </c>
      <c r="J18" s="8">
        <f t="shared" si="1"/>
        <v>11.717999999999998</v>
      </c>
      <c r="K18" s="10" t="s">
        <v>9</v>
      </c>
      <c r="L18">
        <v>5</v>
      </c>
    </row>
    <row r="19" spans="1:12" x14ac:dyDescent="0.3">
      <c r="A19" s="12" t="s">
        <v>33</v>
      </c>
      <c r="B19" s="7"/>
      <c r="C19" t="s">
        <v>24</v>
      </c>
      <c r="D19">
        <v>1</v>
      </c>
      <c r="E19">
        <v>1</v>
      </c>
      <c r="F19">
        <v>1</v>
      </c>
      <c r="G19" s="8">
        <v>13.19</v>
      </c>
      <c r="H19" s="9" t="s">
        <v>59</v>
      </c>
      <c r="I19" s="8">
        <f t="shared" si="0"/>
        <v>18.465999999999998</v>
      </c>
      <c r="J19" s="8">
        <f t="shared" si="1"/>
        <v>18.465999999999998</v>
      </c>
      <c r="K19" s="10" t="s">
        <v>9</v>
      </c>
      <c r="L19">
        <v>5</v>
      </c>
    </row>
    <row r="20" spans="1:12" x14ac:dyDescent="0.3">
      <c r="A20" t="s">
        <v>34</v>
      </c>
      <c r="B20" s="7"/>
      <c r="C20" t="s">
        <v>27</v>
      </c>
      <c r="D20">
        <v>1</v>
      </c>
      <c r="E20">
        <v>1</v>
      </c>
      <c r="F20">
        <v>1</v>
      </c>
      <c r="G20" s="8">
        <v>0</v>
      </c>
      <c r="H20" s="9" t="s">
        <v>57</v>
      </c>
      <c r="I20" s="8">
        <f t="shared" si="0"/>
        <v>0</v>
      </c>
      <c r="J20" s="8">
        <f t="shared" si="1"/>
        <v>0</v>
      </c>
    </row>
    <row r="21" spans="1:12" x14ac:dyDescent="0.3">
      <c r="A21" t="s">
        <v>35</v>
      </c>
      <c r="B21" s="7"/>
      <c r="C21" t="s">
        <v>27</v>
      </c>
      <c r="D21">
        <v>1</v>
      </c>
      <c r="E21">
        <v>1</v>
      </c>
      <c r="F21">
        <v>1</v>
      </c>
      <c r="G21" s="8">
        <v>0</v>
      </c>
      <c r="H21" s="9" t="s">
        <v>57</v>
      </c>
      <c r="I21" s="8">
        <f t="shared" si="0"/>
        <v>0</v>
      </c>
      <c r="J21" s="8">
        <f t="shared" si="1"/>
        <v>0</v>
      </c>
    </row>
    <row r="22" spans="1:12" x14ac:dyDescent="0.3">
      <c r="A22" t="s">
        <v>36</v>
      </c>
      <c r="B22" s="7"/>
      <c r="D22">
        <v>1</v>
      </c>
      <c r="E22">
        <v>1</v>
      </c>
      <c r="F22">
        <v>1</v>
      </c>
      <c r="G22" s="8">
        <v>0</v>
      </c>
      <c r="H22" s="9" t="s">
        <v>57</v>
      </c>
      <c r="I22" s="8">
        <f t="shared" si="0"/>
        <v>0</v>
      </c>
      <c r="J22" s="8">
        <f t="shared" si="1"/>
        <v>0</v>
      </c>
    </row>
    <row r="23" spans="1:12" x14ac:dyDescent="0.3">
      <c r="A23" t="s">
        <v>37</v>
      </c>
      <c r="B23" s="7"/>
      <c r="D23">
        <v>1</v>
      </c>
      <c r="E23">
        <v>1</v>
      </c>
      <c r="F23">
        <v>1</v>
      </c>
      <c r="G23" s="8">
        <v>0</v>
      </c>
      <c r="H23" s="9" t="s">
        <v>57</v>
      </c>
      <c r="I23" s="8">
        <f t="shared" si="0"/>
        <v>0</v>
      </c>
      <c r="J23" s="8">
        <f t="shared" si="1"/>
        <v>0</v>
      </c>
      <c r="K23" s="10" t="s">
        <v>9</v>
      </c>
    </row>
    <row r="24" spans="1:12" x14ac:dyDescent="0.3">
      <c r="A24" t="s">
        <v>38</v>
      </c>
      <c r="B24" s="7"/>
      <c r="C24" t="s">
        <v>39</v>
      </c>
      <c r="D24">
        <v>2</v>
      </c>
      <c r="E24">
        <v>1</v>
      </c>
      <c r="F24">
        <v>2</v>
      </c>
      <c r="G24" s="8">
        <v>4.49</v>
      </c>
      <c r="H24" s="9" t="s">
        <v>59</v>
      </c>
      <c r="I24" s="8">
        <f t="shared" si="0"/>
        <v>6.2859999999999996</v>
      </c>
      <c r="J24" s="8">
        <f t="shared" si="1"/>
        <v>12.571999999999999</v>
      </c>
      <c r="K24" s="10" t="s">
        <v>9</v>
      </c>
      <c r="L24">
        <v>6</v>
      </c>
    </row>
    <row r="25" spans="1:12" x14ac:dyDescent="0.3">
      <c r="A25" t="s">
        <v>40</v>
      </c>
      <c r="B25" s="7"/>
      <c r="C25" t="s">
        <v>39</v>
      </c>
      <c r="D25">
        <v>1</v>
      </c>
      <c r="E25">
        <v>1</v>
      </c>
      <c r="F25">
        <v>1</v>
      </c>
      <c r="G25" s="8">
        <v>14.95</v>
      </c>
      <c r="H25" s="9" t="s">
        <v>59</v>
      </c>
      <c r="I25" s="8">
        <f t="shared" si="0"/>
        <v>20.929999999999996</v>
      </c>
      <c r="J25" s="8">
        <f t="shared" si="1"/>
        <v>20.929999999999996</v>
      </c>
      <c r="K25" s="10" t="s">
        <v>9</v>
      </c>
      <c r="L25">
        <v>6</v>
      </c>
    </row>
    <row r="26" spans="1:12" x14ac:dyDescent="0.3">
      <c r="A26" t="s">
        <v>41</v>
      </c>
      <c r="B26" s="7"/>
      <c r="C26" t="s">
        <v>42</v>
      </c>
      <c r="D26">
        <v>1</v>
      </c>
      <c r="E26">
        <v>1</v>
      </c>
      <c r="F26">
        <v>1</v>
      </c>
      <c r="G26" s="8">
        <v>5.98</v>
      </c>
      <c r="H26" s="9" t="s">
        <v>57</v>
      </c>
      <c r="I26" s="8">
        <f t="shared" si="0"/>
        <v>5.98</v>
      </c>
      <c r="J26" s="8">
        <f t="shared" si="1"/>
        <v>5.98</v>
      </c>
      <c r="K26" s="10" t="s">
        <v>9</v>
      </c>
    </row>
    <row r="27" spans="1:12" x14ac:dyDescent="0.3">
      <c r="A27" t="s">
        <v>43</v>
      </c>
      <c r="B27" s="7"/>
      <c r="C27" t="s">
        <v>1</v>
      </c>
      <c r="D27">
        <v>1</v>
      </c>
      <c r="E27">
        <v>10</v>
      </c>
      <c r="F27">
        <v>1</v>
      </c>
      <c r="G27" s="8">
        <v>8.99</v>
      </c>
      <c r="H27" s="9" t="s">
        <v>57</v>
      </c>
      <c r="I27" s="8">
        <f t="shared" si="0"/>
        <v>8.99</v>
      </c>
      <c r="J27" s="8">
        <f t="shared" si="1"/>
        <v>8.99</v>
      </c>
      <c r="K27" s="10" t="s">
        <v>9</v>
      </c>
      <c r="L27">
        <v>1</v>
      </c>
    </row>
    <row r="28" spans="1:12" x14ac:dyDescent="0.3">
      <c r="A28" t="s">
        <v>44</v>
      </c>
      <c r="B28" s="7"/>
      <c r="C28" t="s">
        <v>45</v>
      </c>
      <c r="D28">
        <v>1</v>
      </c>
      <c r="E28">
        <v>1</v>
      </c>
      <c r="F28">
        <v>1</v>
      </c>
      <c r="G28" s="8">
        <v>12.99</v>
      </c>
      <c r="H28" s="9" t="s">
        <v>59</v>
      </c>
      <c r="I28" s="8">
        <f t="shared" si="0"/>
        <v>18.186</v>
      </c>
      <c r="J28" s="8">
        <f t="shared" si="1"/>
        <v>18.186</v>
      </c>
      <c r="K28" s="10" t="s">
        <v>9</v>
      </c>
      <c r="L28">
        <v>7</v>
      </c>
    </row>
    <row r="29" spans="1:12" x14ac:dyDescent="0.3">
      <c r="A29" t="s">
        <v>46</v>
      </c>
      <c r="B29" s="7"/>
      <c r="D29">
        <v>1</v>
      </c>
      <c r="E29">
        <v>1</v>
      </c>
      <c r="F29">
        <v>1</v>
      </c>
      <c r="G29" s="8">
        <v>1.95</v>
      </c>
      <c r="H29" s="9" t="s">
        <v>59</v>
      </c>
      <c r="I29" s="8">
        <f t="shared" si="0"/>
        <v>2.73</v>
      </c>
      <c r="J29" s="8">
        <f t="shared" si="1"/>
        <v>2.73</v>
      </c>
      <c r="K29" s="10" t="s">
        <v>9</v>
      </c>
      <c r="L29">
        <v>6</v>
      </c>
    </row>
    <row r="30" spans="1:12" x14ac:dyDescent="0.3">
      <c r="A30" t="s">
        <v>47</v>
      </c>
      <c r="B30" s="7"/>
      <c r="C30" t="s">
        <v>24</v>
      </c>
      <c r="D30">
        <v>1</v>
      </c>
      <c r="E30">
        <v>1</v>
      </c>
      <c r="F30">
        <v>1</v>
      </c>
      <c r="G30" s="8">
        <v>8.6999999999999993</v>
      </c>
      <c r="H30" s="9" t="s">
        <v>59</v>
      </c>
      <c r="I30" s="8">
        <f t="shared" si="0"/>
        <v>12.179999999999998</v>
      </c>
      <c r="J30" s="8">
        <f t="shared" si="1"/>
        <v>12.179999999999998</v>
      </c>
      <c r="K30" s="10" t="s">
        <v>9</v>
      </c>
      <c r="L30">
        <v>8</v>
      </c>
    </row>
    <row r="31" spans="1:12" x14ac:dyDescent="0.3">
      <c r="B31" s="7"/>
      <c r="G31" s="8"/>
      <c r="H31" s="9" t="s">
        <v>57</v>
      </c>
      <c r="I31" s="8">
        <f t="shared" si="0"/>
        <v>0</v>
      </c>
      <c r="J31" s="8">
        <f t="shared" si="1"/>
        <v>0</v>
      </c>
      <c r="K31" s="10"/>
    </row>
    <row r="32" spans="1:12" x14ac:dyDescent="0.3">
      <c r="B32" s="7"/>
      <c r="G32" s="8"/>
      <c r="H32" s="9" t="s">
        <v>57</v>
      </c>
      <c r="I32" s="8">
        <f t="shared" si="0"/>
        <v>0</v>
      </c>
      <c r="J32" s="8">
        <f t="shared" si="1"/>
        <v>0</v>
      </c>
    </row>
    <row r="33" spans="1:11" x14ac:dyDescent="0.3">
      <c r="B33" s="7"/>
      <c r="G33" s="8"/>
      <c r="H33" s="9" t="s">
        <v>57</v>
      </c>
      <c r="I33" s="8">
        <f t="shared" si="0"/>
        <v>0</v>
      </c>
      <c r="J33" s="8">
        <f t="shared" si="1"/>
        <v>0</v>
      </c>
    </row>
    <row r="34" spans="1:11" x14ac:dyDescent="0.3">
      <c r="A34" s="13"/>
      <c r="B34" s="14"/>
      <c r="C34" s="13"/>
      <c r="D34" s="13"/>
      <c r="E34" s="13"/>
      <c r="F34" s="13"/>
      <c r="G34" s="15"/>
      <c r="H34" s="16"/>
      <c r="I34" s="17"/>
      <c r="J34" s="15"/>
      <c r="K34" s="13"/>
    </row>
    <row r="35" spans="1:11" x14ac:dyDescent="0.3">
      <c r="A35" t="s">
        <v>48</v>
      </c>
      <c r="B35" s="7"/>
      <c r="G35" s="18"/>
      <c r="H35" s="19"/>
      <c r="I35" s="18"/>
      <c r="J35" s="18">
        <f>SUM(J2:J33)</f>
        <v>358.79160000000002</v>
      </c>
    </row>
    <row r="36" spans="1:11" x14ac:dyDescent="0.3">
      <c r="A36" t="s">
        <v>49</v>
      </c>
      <c r="B36" s="7"/>
      <c r="G36" s="8"/>
      <c r="H36" s="9"/>
      <c r="I36" s="8"/>
      <c r="J36" s="20">
        <f>J35*0.12</f>
        <v>43.054991999999999</v>
      </c>
    </row>
    <row r="37" spans="1:11" x14ac:dyDescent="0.3">
      <c r="A37" t="s">
        <v>50</v>
      </c>
      <c r="B37" s="7"/>
      <c r="G37" s="8"/>
      <c r="H37" s="9"/>
      <c r="I37" s="8"/>
      <c r="J37" s="20">
        <f>J35*0.05</f>
        <v>17.939580000000003</v>
      </c>
    </row>
    <row r="38" spans="1:11" x14ac:dyDescent="0.3">
      <c r="B38" s="7"/>
      <c r="G38" s="8"/>
      <c r="H38" s="9"/>
      <c r="I38" s="8"/>
    </row>
    <row r="39" spans="1:11" x14ac:dyDescent="0.3">
      <c r="A39" s="1" t="s">
        <v>51</v>
      </c>
      <c r="B39" s="21"/>
      <c r="C39" s="1"/>
      <c r="D39" s="1"/>
      <c r="E39" s="1"/>
      <c r="F39" s="1"/>
      <c r="G39" s="22"/>
      <c r="H39" s="6"/>
      <c r="I39" s="22"/>
      <c r="J39" s="23">
        <f>SUM(J35:J37)</f>
        <v>419.78617199999997</v>
      </c>
    </row>
    <row r="40" spans="1:11" x14ac:dyDescent="0.3">
      <c r="B40" s="7"/>
      <c r="G40" s="8"/>
      <c r="H40" s="9"/>
      <c r="I40" s="8"/>
    </row>
  </sheetData>
  <hyperlinks>
    <hyperlink ref="K11" r:id="rId1" xr:uid="{0D89F198-D0AF-4011-8CB3-67354B14B2F7}"/>
    <hyperlink ref="K6" r:id="rId2" xr:uid="{AC4CE30B-0155-4C78-8157-F58AAAB58A61}"/>
    <hyperlink ref="K19" r:id="rId3" xr:uid="{D80C65C3-0DD9-4455-B6F2-87F1E90AE353}"/>
    <hyperlink ref="K2" r:id="rId4" xr:uid="{7B290122-FBE9-4AF4-8954-D2743479BEF9}"/>
    <hyperlink ref="K3" r:id="rId5" xr:uid="{FDE2F651-0E81-47EC-8C12-D5ADD2BAF6DA}"/>
    <hyperlink ref="K5" r:id="rId6" xr:uid="{370E857E-9C4C-49D1-9B27-DF26A455BC88}"/>
    <hyperlink ref="K4" r:id="rId7" xr:uid="{0F55BD40-0322-483A-8B7C-AD165606A3E9}"/>
    <hyperlink ref="K7" r:id="rId8" xr:uid="{71048676-1595-4FCC-8205-B03D3C87240D}"/>
    <hyperlink ref="K8" r:id="rId9" xr:uid="{37BBE026-7B90-4A50-B176-6D01162A6C75}"/>
    <hyperlink ref="K9" r:id="rId10" xr:uid="{753C1AF8-EFF7-4ECB-9753-6CC1BB1CA086}"/>
    <hyperlink ref="K10" r:id="rId11" xr:uid="{CAD30E0B-E654-4EC2-B6E1-57482BBA1A8E}"/>
    <hyperlink ref="K12" r:id="rId12" xr:uid="{43BCEF86-F3F6-40D8-98CC-928FA94D01A0}"/>
    <hyperlink ref="K13" r:id="rId13" xr:uid="{761B6ADC-AC1C-411D-87C1-31C01C812517}"/>
    <hyperlink ref="K23" r:id="rId14" xr:uid="{3970B0F9-C2B1-4433-A620-2183BC8CB5DE}"/>
    <hyperlink ref="K24" r:id="rId15" xr:uid="{CC4E18B6-300D-4DD5-866E-B120F69E8D47}"/>
    <hyperlink ref="K25" r:id="rId16" xr:uid="{BEFEB4F5-EF55-416F-98D0-2D2648DAAA1B}"/>
    <hyperlink ref="K26" r:id="rId17" xr:uid="{C3FA21CD-507A-490A-8D1B-20DD585882F9}"/>
    <hyperlink ref="K27" r:id="rId18" xr:uid="{59490899-3E65-4908-A36C-6B3D290842A8}"/>
    <hyperlink ref="K18" r:id="rId19" xr:uid="{D558A373-197F-487B-80E1-7EEFE7B478E8}"/>
    <hyperlink ref="K14" r:id="rId20" xr:uid="{F103E596-0563-4951-978A-3B89BEDCBEF9}"/>
    <hyperlink ref="K28" r:id="rId21" xr:uid="{349F1FC8-51C8-41D6-8E88-237C0C9FD920}"/>
    <hyperlink ref="K29" r:id="rId22" xr:uid="{F0AE454D-F4B7-4E52-AB4A-02E80F257301}"/>
    <hyperlink ref="K30" r:id="rId23" xr:uid="{2EF6E36F-76D7-4C2C-AFEB-A834981BC898}"/>
  </hyperlinks>
  <pageMargins left="0.7" right="0.7" top="0.75" bottom="0.75" header="0.3" footer="0.3"/>
  <pageSetup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raiaank@student.ubc.ca</dc:creator>
  <cp:lastModifiedBy>raiaank@student.ubc.ca</cp:lastModifiedBy>
  <dcterms:created xsi:type="dcterms:W3CDTF">2026-06-17T06:24:17Z</dcterms:created>
  <dcterms:modified xsi:type="dcterms:W3CDTF">2026-06-17T21:30:42Z</dcterms:modified>
</cp:coreProperties>
</file>